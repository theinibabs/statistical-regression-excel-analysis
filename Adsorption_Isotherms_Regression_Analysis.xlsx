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zTemp\"/>
    </mc:Choice>
  </mc:AlternateContent>
  <bookViews>
    <workbookView xWindow="0" yWindow="0" windowWidth="19200" windowHeight="7310"/>
  </bookViews>
  <sheets>
    <sheet name="Sheet1" sheetId="1" r:id="rId1"/>
    <sheet name="Calibration Curve" sheetId="2" r:id="rId2"/>
    <sheet name="Henry's law" sheetId="6" r:id="rId3"/>
    <sheet name="Freundlich isotherm" sheetId="7" r:id="rId4"/>
    <sheet name="Langmuir isotherm" sheetId="8" r:id="rId5"/>
    <sheet name="Frumkin isotherm" sheetId="9" r:id="rId6"/>
    <sheet name="Temkin isotherm" sheetId="10" r:id="rId7"/>
    <sheet name="D-R" sheetId="11" r:id="rId8"/>
    <sheet name="Experimental Data" sheetId="3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" l="1"/>
  <c r="M14" i="1"/>
  <c r="M15" i="1"/>
  <c r="M16" i="1"/>
  <c r="M12" i="1"/>
  <c r="K13" i="1"/>
  <c r="K14" i="1"/>
  <c r="K15" i="1"/>
  <c r="K16" i="1"/>
  <c r="K12" i="1"/>
  <c r="J13" i="1"/>
  <c r="J14" i="1"/>
  <c r="J15" i="1"/>
  <c r="J16" i="1"/>
  <c r="J12" i="1"/>
  <c r="I13" i="1"/>
  <c r="I14" i="1"/>
  <c r="I15" i="1"/>
  <c r="I16" i="1"/>
  <c r="I12" i="1"/>
  <c r="I4" i="1"/>
  <c r="I5" i="1"/>
  <c r="I6" i="1"/>
  <c r="I7" i="1"/>
  <c r="I3" i="1"/>
  <c r="R4" i="1" l="1"/>
  <c r="R5" i="1"/>
  <c r="R6" i="1"/>
  <c r="R7" i="1"/>
  <c r="R3" i="1"/>
  <c r="Q4" i="1"/>
  <c r="Q5" i="1"/>
  <c r="Q6" i="1"/>
  <c r="Q7" i="1"/>
  <c r="Q3" i="1"/>
  <c r="H12" i="1" l="1"/>
  <c r="J32" i="1" s="1"/>
  <c r="H13" i="1"/>
  <c r="H14" i="1"/>
  <c r="H15" i="1"/>
  <c r="H16" i="1"/>
  <c r="F44" i="1" s="1"/>
  <c r="B19" i="1"/>
  <c r="G13" i="1"/>
  <c r="G14" i="1"/>
  <c r="G15" i="1"/>
  <c r="G16" i="1"/>
  <c r="G12" i="1"/>
  <c r="F28" i="1" l="1"/>
  <c r="H28" i="1"/>
  <c r="F51" i="1"/>
  <c r="J51" i="1"/>
  <c r="H51" i="1"/>
  <c r="L51" i="1"/>
  <c r="J43" i="1"/>
  <c r="L43" i="1"/>
  <c r="H43" i="1"/>
  <c r="J28" i="1"/>
  <c r="L28" i="1"/>
  <c r="F36" i="1"/>
  <c r="H36" i="1"/>
  <c r="J36" i="1"/>
  <c r="L36" i="1"/>
  <c r="J50" i="1"/>
  <c r="H50" i="1"/>
  <c r="F50" i="1"/>
  <c r="L50" i="1"/>
  <c r="H42" i="1"/>
  <c r="L42" i="1"/>
  <c r="J42" i="1"/>
  <c r="F27" i="1"/>
  <c r="H27" i="1"/>
  <c r="J27" i="1"/>
  <c r="L27" i="1"/>
  <c r="F35" i="1"/>
  <c r="H35" i="1"/>
  <c r="J35" i="1"/>
  <c r="L35" i="1"/>
  <c r="F43" i="1"/>
  <c r="G20" i="1"/>
  <c r="G21" i="1" s="1"/>
  <c r="J49" i="1"/>
  <c r="H49" i="1"/>
  <c r="F49" i="1"/>
  <c r="L49" i="1"/>
  <c r="L41" i="1"/>
  <c r="J41" i="1"/>
  <c r="H41" i="1"/>
  <c r="M20" i="1"/>
  <c r="M21" i="1" s="1"/>
  <c r="F26" i="1"/>
  <c r="H26" i="1"/>
  <c r="J26" i="1"/>
  <c r="L26" i="1"/>
  <c r="F34" i="1"/>
  <c r="H34" i="1"/>
  <c r="J34" i="1"/>
  <c r="L34" i="1"/>
  <c r="F42" i="1"/>
  <c r="J52" i="1"/>
  <c r="L52" i="1"/>
  <c r="H52" i="1"/>
  <c r="F52" i="1"/>
  <c r="L44" i="1"/>
  <c r="J44" i="1"/>
  <c r="H44" i="1"/>
  <c r="I20" i="1"/>
  <c r="I21" i="1" s="1"/>
  <c r="K20" i="1"/>
  <c r="K21" i="1" s="1"/>
  <c r="F25" i="1"/>
  <c r="H25" i="1"/>
  <c r="J25" i="1"/>
  <c r="L25" i="1"/>
  <c r="F33" i="1"/>
  <c r="H33" i="1"/>
  <c r="J33" i="1"/>
  <c r="L33" i="1"/>
  <c r="F41" i="1"/>
  <c r="L48" i="1"/>
  <c r="J48" i="1"/>
  <c r="F48" i="1"/>
  <c r="H48" i="1"/>
  <c r="J40" i="1"/>
  <c r="H40" i="1"/>
  <c r="H45" i="1" s="1"/>
  <c r="F40" i="1"/>
  <c r="L40" i="1"/>
  <c r="F24" i="1"/>
  <c r="J24" i="1"/>
  <c r="F32" i="1"/>
  <c r="H32" i="1"/>
  <c r="L32" i="1"/>
  <c r="H24" i="1"/>
  <c r="L24" i="1"/>
  <c r="H4" i="1"/>
  <c r="H5" i="1"/>
  <c r="H6" i="1"/>
  <c r="H7" i="1"/>
  <c r="H3" i="1"/>
  <c r="L29" i="1" l="1"/>
  <c r="H29" i="1"/>
  <c r="L45" i="1"/>
  <c r="J37" i="1"/>
  <c r="J53" i="1"/>
  <c r="H37" i="1"/>
  <c r="H53" i="1"/>
  <c r="F37" i="1"/>
  <c r="F45" i="1"/>
  <c r="F53" i="1"/>
  <c r="J29" i="1"/>
  <c r="L37" i="1"/>
  <c r="F29" i="1"/>
  <c r="J45" i="1"/>
  <c r="L53" i="1"/>
  <c r="K6" i="1"/>
  <c r="L6" i="1"/>
  <c r="K5" i="1"/>
  <c r="K7" i="1"/>
  <c r="L3" i="1"/>
  <c r="K3" i="1"/>
  <c r="L4" i="1"/>
  <c r="K4" i="1"/>
  <c r="J7" i="1" l="1"/>
  <c r="M7" i="1"/>
  <c r="N7" i="1" s="1"/>
  <c r="J5" i="1"/>
  <c r="M5" i="1"/>
  <c r="N5" i="1" s="1"/>
  <c r="J3" i="1"/>
  <c r="M3" i="1"/>
  <c r="N3" i="1" s="1"/>
  <c r="J4" i="1"/>
  <c r="M4" i="1"/>
  <c r="N4" i="1" s="1"/>
  <c r="L7" i="1"/>
  <c r="L5" i="1"/>
  <c r="J6" i="1"/>
  <c r="M6" i="1"/>
  <c r="N6" i="1" s="1"/>
</calcChain>
</file>

<file path=xl/sharedStrings.xml><?xml version="1.0" encoding="utf-8"?>
<sst xmlns="http://schemas.openxmlformats.org/spreadsheetml/2006/main" count="63" uniqueCount="60">
  <si>
    <t>Abs</t>
  </si>
  <si>
    <r>
      <t>c</t>
    </r>
    <r>
      <rPr>
        <vertAlign val="subscript"/>
        <sz val="12"/>
        <color theme="1"/>
        <rFont val="Times New Roman"/>
        <family val="1"/>
      </rPr>
      <t xml:space="preserve">o </t>
    </r>
    <r>
      <rPr>
        <sz val="12"/>
        <color theme="1"/>
        <rFont val="Times New Roman"/>
        <family val="1"/>
      </rPr>
      <t>()</t>
    </r>
  </si>
  <si>
    <t>Speed =</t>
  </si>
  <si>
    <t>150 rpm</t>
  </si>
  <si>
    <t>40 minutes</t>
  </si>
  <si>
    <t>Shaking time =</t>
  </si>
  <si>
    <t>Volume of</t>
  </si>
  <si>
    <t>adsorbate</t>
  </si>
  <si>
    <t xml:space="preserve">used = </t>
  </si>
  <si>
    <t>100 mL</t>
  </si>
  <si>
    <t>Calibration Curve</t>
  </si>
  <si>
    <t>Experimental Data</t>
  </si>
  <si>
    <t>Wavelength</t>
  </si>
  <si>
    <t>of MB =</t>
  </si>
  <si>
    <t>660 nm</t>
  </si>
  <si>
    <r>
      <t>c</t>
    </r>
    <r>
      <rPr>
        <vertAlign val="subscript"/>
        <sz val="12"/>
        <color theme="1"/>
        <rFont val="Times New Roman"/>
        <family val="1"/>
      </rPr>
      <t xml:space="preserve">o </t>
    </r>
    <r>
      <rPr>
        <sz val="12"/>
        <color theme="1"/>
        <rFont val="Times New Roman"/>
        <family val="1"/>
      </rPr>
      <t>(g/L)</t>
    </r>
  </si>
  <si>
    <r>
      <t>c</t>
    </r>
    <r>
      <rPr>
        <vertAlign val="sub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 xml:space="preserve"> (g/L)</t>
    </r>
  </si>
  <si>
    <r>
      <t>q</t>
    </r>
    <r>
      <rPr>
        <vertAlign val="sub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 xml:space="preserve"> (mg/g)</t>
    </r>
  </si>
  <si>
    <r>
      <t>ln(c</t>
    </r>
    <r>
      <rPr>
        <vertAlign val="sub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>)</t>
    </r>
  </si>
  <si>
    <r>
      <t>ln(q</t>
    </r>
    <r>
      <rPr>
        <vertAlign val="sub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>)</t>
    </r>
  </si>
  <si>
    <r>
      <t>c</t>
    </r>
    <r>
      <rPr>
        <vertAlign val="sub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>/q</t>
    </r>
    <r>
      <rPr>
        <vertAlign val="subscript"/>
        <sz val="12"/>
        <color theme="1"/>
        <rFont val="Times New Roman"/>
        <family val="1"/>
      </rPr>
      <t>e</t>
    </r>
  </si>
  <si>
    <t>θ</t>
  </si>
  <si>
    <t>q_max =</t>
  </si>
  <si>
    <r>
      <t>ln(</t>
    </r>
    <r>
      <rPr>
        <sz val="12"/>
        <color theme="1"/>
        <rFont val="Calibri"/>
        <family val="2"/>
      </rPr>
      <t>θ</t>
    </r>
    <r>
      <rPr>
        <sz val="12"/>
        <color theme="1"/>
        <rFont val="Times New Roman"/>
        <family val="1"/>
      </rPr>
      <t>/(1-</t>
    </r>
    <r>
      <rPr>
        <sz val="12"/>
        <color theme="1"/>
        <rFont val="Calibri"/>
        <family val="2"/>
      </rPr>
      <t>θ</t>
    </r>
    <r>
      <rPr>
        <sz val="12"/>
        <color theme="1"/>
        <rFont val="Times New Roman"/>
        <family val="1"/>
      </rPr>
      <t>)c)</t>
    </r>
  </si>
  <si>
    <t>Error Funcs</t>
  </si>
  <si>
    <r>
      <t>Exp. q</t>
    </r>
    <r>
      <rPr>
        <vertAlign val="subscript"/>
        <sz val="12"/>
        <color theme="1"/>
        <rFont val="Times New Roman"/>
        <family val="1"/>
      </rPr>
      <t>e</t>
    </r>
  </si>
  <si>
    <r>
      <t>Henry's q</t>
    </r>
    <r>
      <rPr>
        <vertAlign val="subscript"/>
        <sz val="12"/>
        <color theme="1"/>
        <rFont val="Times New Roman"/>
        <family val="1"/>
      </rPr>
      <t>e</t>
    </r>
  </si>
  <si>
    <r>
      <t>Freundlich q</t>
    </r>
    <r>
      <rPr>
        <vertAlign val="subscript"/>
        <sz val="12"/>
        <color theme="1"/>
        <rFont val="Times New Roman"/>
        <family val="1"/>
      </rPr>
      <t>e</t>
    </r>
  </si>
  <si>
    <r>
      <t>Langmuir q</t>
    </r>
    <r>
      <rPr>
        <vertAlign val="subscript"/>
        <sz val="12"/>
        <color theme="1"/>
        <rFont val="Times New Roman"/>
        <family val="1"/>
      </rPr>
      <t>e</t>
    </r>
  </si>
  <si>
    <r>
      <t>Frumkin q</t>
    </r>
    <r>
      <rPr>
        <vertAlign val="subscript"/>
        <sz val="12"/>
        <color theme="1"/>
        <rFont val="Times New Roman"/>
        <family val="1"/>
      </rPr>
      <t>e</t>
    </r>
  </si>
  <si>
    <r>
      <t>Temkin q</t>
    </r>
    <r>
      <rPr>
        <vertAlign val="subscript"/>
        <sz val="12"/>
        <color theme="1"/>
        <rFont val="Times New Roman"/>
        <family val="1"/>
      </rPr>
      <t>e</t>
    </r>
  </si>
  <si>
    <r>
      <t>q</t>
    </r>
    <r>
      <rPr>
        <vertAlign val="subscript"/>
        <sz val="12"/>
        <color theme="1"/>
        <rFont val="Times New Roman"/>
        <family val="1"/>
      </rPr>
      <t>e</t>
    </r>
    <r>
      <rPr>
        <sz val="12"/>
        <color theme="1"/>
        <rFont val="Times New Roman"/>
        <family val="1"/>
      </rPr>
      <t>'s</t>
    </r>
  </si>
  <si>
    <t xml:space="preserve">SST = </t>
  </si>
  <si>
    <t xml:space="preserve">SSE Henry = </t>
  </si>
  <si>
    <t>SSE Freundlich =</t>
  </si>
  <si>
    <r>
      <t>R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2"/>
        <color theme="1"/>
        <rFont val="Times New Roman"/>
        <family val="1"/>
      </rPr>
      <t xml:space="preserve"> Henry =</t>
    </r>
  </si>
  <si>
    <r>
      <t>R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Freundlich =</t>
    </r>
  </si>
  <si>
    <t>SSE Langmuir =</t>
  </si>
  <si>
    <r>
      <t>R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Langmuir =</t>
    </r>
  </si>
  <si>
    <t>SSE Temkin =</t>
  </si>
  <si>
    <r>
      <t>R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Temkin =</t>
    </r>
  </si>
  <si>
    <r>
      <t>χ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Henry</t>
    </r>
  </si>
  <si>
    <r>
      <t>χ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Freundlich</t>
    </r>
  </si>
  <si>
    <r>
      <t>χ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Langmuir</t>
    </r>
  </si>
  <si>
    <r>
      <t>χ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 xml:space="preserve"> Temkin</t>
    </r>
  </si>
  <si>
    <t>ARE Henry</t>
  </si>
  <si>
    <t>ARE Freundlich</t>
  </si>
  <si>
    <t>ARE Langmuir</t>
  </si>
  <si>
    <t>ARE Temkin</t>
  </si>
  <si>
    <t>MPSD Henry</t>
  </si>
  <si>
    <t>MPSD Freundlich</t>
  </si>
  <si>
    <t>MPSD Langmuir</t>
  </si>
  <si>
    <t>MPSD Temkin</t>
  </si>
  <si>
    <t>RMSE Henry</t>
  </si>
  <si>
    <t>RMSE Freundlich</t>
  </si>
  <si>
    <t>RMSE Langmuir</t>
  </si>
  <si>
    <t>RMSE Temkin</t>
  </si>
  <si>
    <t>ε</t>
  </si>
  <si>
    <t>Polanyi Pot.</t>
  </si>
  <si>
    <r>
      <rPr>
        <sz val="12"/>
        <color theme="1"/>
        <rFont val="Calibri"/>
        <family val="2"/>
      </rPr>
      <t>ε</t>
    </r>
    <r>
      <rPr>
        <vertAlign val="superscript"/>
        <sz val="12"/>
        <color theme="1"/>
        <rFont val="Times New Roman"/>
        <family val="1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</si>
</sst>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2"/>
      <color theme="1"/>
      <name val="Calibri"/>
      <family val="2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b/>
      <vertAlign val="superscript"/>
      <sz val="11"/>
      <color theme="1"/>
      <name val="Calibri"/>
      <family val="2"/>
      <scheme val="minor"/>
    </font>
    <font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Alignment="1">
      <alignment horizontal="left"/>
    </xf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dk1">
                    <a:tint val="885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2700" cap="rnd">
                <a:solidFill>
                  <a:schemeClr val="dk1">
                    <a:tint val="885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/>
                      <a:t>A = 2.63C + 1.145</a:t>
                    </a:r>
                    <a:br>
                      <a:rPr lang="en-US"/>
                    </a:br>
                    <a:r>
                      <a:rPr lang="en-US"/>
                      <a:t>R² = 0.9972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Sheet1!$A$3:$A$7</c:f>
              <c:numCache>
                <c:formatCode>General</c:formatCode>
                <c:ptCount val="5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</c:numCache>
            </c:numRef>
          </c:xVal>
          <c:yVal>
            <c:numRef>
              <c:f>Sheet1!$B$3:$B$7</c:f>
              <c:numCache>
                <c:formatCode>General</c:formatCode>
                <c:ptCount val="5"/>
                <c:pt idx="0">
                  <c:v>1.2010000000000001</c:v>
                </c:pt>
                <c:pt idx="1">
                  <c:v>1.2450000000000001</c:v>
                </c:pt>
                <c:pt idx="2">
                  <c:v>1.3009999999999999</c:v>
                </c:pt>
                <c:pt idx="3">
                  <c:v>1.361</c:v>
                </c:pt>
                <c:pt idx="4">
                  <c:v>1.4059999999999999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305536"/>
        <c:axId val="451309456"/>
      </c:scatterChart>
      <c:valAx>
        <c:axId val="45130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Concentration, C (g/L)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1309456"/>
        <c:crosses val="autoZero"/>
        <c:crossBetween val="midCat"/>
      </c:valAx>
      <c:valAx>
        <c:axId val="45130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Absorbance, 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130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31949923272326"/>
          <c:y val="7.3249423990942544E-2"/>
          <c:w val="0.85802572492519569"/>
          <c:h val="0.8241206670663664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Sheet1!$H$3:$H$7</c:f>
              <c:numCache>
                <c:formatCode>General</c:formatCode>
                <c:ptCount val="5"/>
                <c:pt idx="0">
                  <c:v>1.9011406844106481E-2</c:v>
                </c:pt>
                <c:pt idx="1">
                  <c:v>3.3840304182509495E-2</c:v>
                </c:pt>
                <c:pt idx="2">
                  <c:v>6.8821292775665427E-2</c:v>
                </c:pt>
                <c:pt idx="3">
                  <c:v>0.12205323193916348</c:v>
                </c:pt>
                <c:pt idx="4">
                  <c:v>0.19923954372623576</c:v>
                </c:pt>
              </c:numCache>
            </c:numRef>
          </c:xVal>
          <c:yVal>
            <c:numRef>
              <c:f>Sheet1!$I$3:$I$7</c:f>
              <c:numCache>
                <c:formatCode>General</c:formatCode>
                <c:ptCount val="5"/>
                <c:pt idx="0">
                  <c:v>18.098859315589351</c:v>
                </c:pt>
                <c:pt idx="1">
                  <c:v>36.615969581749056</c:v>
                </c:pt>
                <c:pt idx="2">
                  <c:v>53.117870722433459</c:v>
                </c:pt>
                <c:pt idx="3">
                  <c:v>67.794676806083658</c:v>
                </c:pt>
                <c:pt idx="4">
                  <c:v>80.076045627376431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307496"/>
        <c:axId val="451307888"/>
      </c:scatterChart>
      <c:valAx>
        <c:axId val="451307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Residual concentration of methylene</a:t>
                </a:r>
                <a:r>
                  <a:rPr lang="en-US" baseline="0"/>
                  <a:t> blue solution, c</a:t>
                </a:r>
                <a:r>
                  <a:rPr lang="en-US" baseline="-25000"/>
                  <a:t>e</a:t>
                </a:r>
                <a:r>
                  <a:rPr lang="en-US" baseline="0"/>
                  <a:t> (g/L)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1307888"/>
        <c:crosses val="autoZero"/>
        <c:crossBetween val="midCat"/>
      </c:valAx>
      <c:valAx>
        <c:axId val="4513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0" i="0" u="none" strike="noStrike" baseline="0">
                    <a:effectLst/>
                  </a:rPr>
                  <a:t>Weight of methylene blue adsorbed per unit weight of activated carbon at equilibrium, q</a:t>
                </a:r>
                <a:r>
                  <a:rPr lang="en-US" sz="1200" b="0" i="0" u="none" strike="noStrike" baseline="-25000">
                    <a:effectLst/>
                  </a:rPr>
                  <a:t>e</a:t>
                </a:r>
                <a:r>
                  <a:rPr lang="en-US" sz="1200" b="0" i="0" u="none" strike="noStrike" baseline="0">
                    <a:effectLst/>
                  </a:rPr>
                  <a:t> (mg/g)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198724054056801E-2"/>
              <c:y val="7.59686679114400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51307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Sheet1!$K$3:$K$7</c:f>
              <c:numCache>
                <c:formatCode>General</c:formatCode>
                <c:ptCount val="5"/>
                <c:pt idx="0">
                  <c:v>-3.9627161197436633</c:v>
                </c:pt>
                <c:pt idx="1">
                  <c:v>-3.3861027554396705</c:v>
                </c:pt>
                <c:pt idx="2">
                  <c:v>-2.6762420939059841</c:v>
                </c:pt>
                <c:pt idx="3">
                  <c:v>-2.1032980020417944</c:v>
                </c:pt>
                <c:pt idx="4">
                  <c:v>-1.613247440850768</c:v>
                </c:pt>
              </c:numCache>
            </c:numRef>
          </c:xVal>
          <c:yVal>
            <c:numRef>
              <c:f>Sheet1!$J$3:$J$7</c:f>
              <c:numCache>
                <c:formatCode>General</c:formatCode>
                <c:ptCount val="5"/>
                <c:pt idx="0">
                  <c:v>2.8958489150477011</c:v>
                </c:pt>
                <c:pt idx="1">
                  <c:v>3.600484472614407</c:v>
                </c:pt>
                <c:pt idx="2">
                  <c:v>3.972513420073243</c:v>
                </c:pt>
                <c:pt idx="3">
                  <c:v>4.2164836786794213</c:v>
                </c:pt>
                <c:pt idx="4">
                  <c:v>4.382976753510202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47712"/>
        <c:axId val="517844576"/>
      </c:scatterChart>
      <c:valAx>
        <c:axId val="51784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ln (c</a:t>
                </a:r>
                <a:r>
                  <a:rPr lang="en-US" baseline="-25000"/>
                  <a:t>e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844576"/>
        <c:crosses val="autoZero"/>
        <c:crossBetween val="midCat"/>
      </c:valAx>
      <c:valAx>
        <c:axId val="51784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ln (q</a:t>
                </a:r>
                <a:r>
                  <a:rPr lang="en-US" baseline="-25000"/>
                  <a:t>e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84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Sheet1!$H$3:$H$7</c:f>
              <c:numCache>
                <c:formatCode>General</c:formatCode>
                <c:ptCount val="5"/>
                <c:pt idx="0">
                  <c:v>1.9011406844106481E-2</c:v>
                </c:pt>
                <c:pt idx="1">
                  <c:v>3.3840304182509495E-2</c:v>
                </c:pt>
                <c:pt idx="2">
                  <c:v>6.8821292775665427E-2</c:v>
                </c:pt>
                <c:pt idx="3">
                  <c:v>0.12205323193916348</c:v>
                </c:pt>
                <c:pt idx="4">
                  <c:v>0.19923954372623576</c:v>
                </c:pt>
              </c:numCache>
            </c:numRef>
          </c:xVal>
          <c:yVal>
            <c:numRef>
              <c:f>Sheet1!$L$3:$L$7</c:f>
              <c:numCache>
                <c:formatCode>General</c:formatCode>
                <c:ptCount val="5"/>
                <c:pt idx="0">
                  <c:v>1.0504201680672279E-3</c:v>
                </c:pt>
                <c:pt idx="1">
                  <c:v>9.2419522326064342E-4</c:v>
                </c:pt>
                <c:pt idx="2">
                  <c:v>1.2956335003579103E-3</c:v>
                </c:pt>
                <c:pt idx="3">
                  <c:v>1.8003365114974757E-3</c:v>
                </c:pt>
                <c:pt idx="4">
                  <c:v>2.4881291547958215E-3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45360"/>
        <c:axId val="517848104"/>
      </c:scatterChart>
      <c:valAx>
        <c:axId val="51784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</a:t>
                </a:r>
                <a:r>
                  <a:rPr lang="en-US" baseline="-25000"/>
                  <a:t>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848104"/>
        <c:crosses val="autoZero"/>
        <c:crossBetween val="midCat"/>
      </c:valAx>
      <c:valAx>
        <c:axId val="51784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</a:t>
                </a:r>
                <a:r>
                  <a:rPr lang="en-US" baseline="-25000"/>
                  <a:t>e</a:t>
                </a:r>
                <a:r>
                  <a:rPr lang="en-US"/>
                  <a:t>/q</a:t>
                </a:r>
                <a:r>
                  <a:rPr lang="en-US" baseline="-25000"/>
                  <a:t>e</a:t>
                </a:r>
                <a:r>
                  <a:rPr lang="en-US"/>
                  <a:t>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84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824301541537066"/>
                  <c:y val="0.14678165444809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1200" b="0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Tahoma" panose="020B0604030504040204" pitchFamily="34" charset="0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Sheet1!$M$3:$M$7</c:f>
              <c:numCache>
                <c:formatCode>General</c:formatCode>
                <c:ptCount val="5"/>
                <c:pt idx="0">
                  <c:v>0.15565028350423854</c:v>
                </c:pt>
                <c:pt idx="1">
                  <c:v>0.31489752734155829</c:v>
                </c:pt>
                <c:pt idx="2">
                  <c:v>0.45681396230130517</c:v>
                </c:pt>
                <c:pt idx="3">
                  <c:v>0.58303457035306172</c:v>
                </c:pt>
                <c:pt idx="4">
                  <c:v>0.68865440558808066</c:v>
                </c:pt>
              </c:numCache>
            </c:numRef>
          </c:xVal>
          <c:yVal>
            <c:numRef>
              <c:f>Sheet1!$N$3:$N$7</c:f>
              <c:numCache>
                <c:formatCode>General</c:formatCode>
                <c:ptCount val="5"/>
                <c:pt idx="0">
                  <c:v>2.271761073239174</c:v>
                </c:pt>
                <c:pt idx="1">
                  <c:v>2.6087816091179161</c:v>
                </c:pt>
                <c:pt idx="2">
                  <c:v>2.5030664451194755</c:v>
                </c:pt>
                <c:pt idx="3">
                  <c:v>2.4385411681439892</c:v>
                </c:pt>
                <c:pt idx="4">
                  <c:v>2.4070834663559504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46144"/>
        <c:axId val="517846536"/>
      </c:scatterChart>
      <c:valAx>
        <c:axId val="51784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Tahoma" panose="020B0604030504040204" pitchFamily="34" charset="0"/>
                    <a:cs typeface="Times New Roman" panose="02020603050405020304" pitchFamily="18" charset="0"/>
                  </a:defRPr>
                </a:pPr>
                <a:r>
                  <a:rPr lang="el-GR"/>
                  <a:t>θ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Tahoma" panose="020B0604030504040204" pitchFamily="34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517846536"/>
        <c:crosses val="autoZero"/>
        <c:crossBetween val="midCat"/>
      </c:valAx>
      <c:valAx>
        <c:axId val="517846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Tahoma" panose="020B0604030504040204" pitchFamily="34" charset="0"/>
                    <a:cs typeface="Times New Roman" panose="02020603050405020304" pitchFamily="18" charset="0"/>
                  </a:defRPr>
                </a:pPr>
                <a:r>
                  <a:rPr lang="en-US"/>
                  <a:t>ln(</a:t>
                </a:r>
                <a:r>
                  <a:rPr lang="el-GR"/>
                  <a:t>θ/(1-θ)</a:t>
                </a:r>
                <a:r>
                  <a:rPr lang="en-US"/>
                  <a:t>c) 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Tahoma" panose="020B0604030504040204" pitchFamily="34" charset="0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Tahoma" panose="020B0604030504040204" pitchFamily="34" charset="0"/>
                <a:cs typeface="Times New Roman" panose="02020603050405020304" pitchFamily="18" charset="0"/>
              </a:defRPr>
            </a:pPr>
            <a:endParaRPr lang="en-US"/>
          </a:p>
        </c:txPr>
        <c:crossAx val="51784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ea typeface="Tahoma" panose="020B0604030504040204" pitchFamily="34" charset="0"/>
          <a:cs typeface="Times New Roman" panose="02020603050405020304" pitchFamily="18" charset="0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76939207808656E-2"/>
          <c:y val="1.9516354737773082E-2"/>
          <c:w val="0.93869925939338061"/>
          <c:h val="0.8758302759697195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23848789504946"/>
                  <c:y val="0.1483537397450790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Sheet1!$K$3:$K$7</c:f>
              <c:numCache>
                <c:formatCode>General</c:formatCode>
                <c:ptCount val="5"/>
                <c:pt idx="0">
                  <c:v>-3.9627161197436633</c:v>
                </c:pt>
                <c:pt idx="1">
                  <c:v>-3.3861027554396705</c:v>
                </c:pt>
                <c:pt idx="2">
                  <c:v>-2.6762420939059841</c:v>
                </c:pt>
                <c:pt idx="3">
                  <c:v>-2.1032980020417944</c:v>
                </c:pt>
                <c:pt idx="4">
                  <c:v>-1.613247440850768</c:v>
                </c:pt>
              </c:numCache>
            </c:numRef>
          </c:xVal>
          <c:yVal>
            <c:numRef>
              <c:f>Sheet1!$I$3:$I$7</c:f>
              <c:numCache>
                <c:formatCode>General</c:formatCode>
                <c:ptCount val="5"/>
                <c:pt idx="0">
                  <c:v>18.098859315589351</c:v>
                </c:pt>
                <c:pt idx="1">
                  <c:v>36.615969581749056</c:v>
                </c:pt>
                <c:pt idx="2">
                  <c:v>53.117870722433459</c:v>
                </c:pt>
                <c:pt idx="3">
                  <c:v>67.794676806083658</c:v>
                </c:pt>
                <c:pt idx="4">
                  <c:v>80.076045627376431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46928"/>
        <c:axId val="517849672"/>
      </c:scatterChart>
      <c:valAx>
        <c:axId val="517846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ln(c</a:t>
                </a:r>
                <a:r>
                  <a:rPr lang="en-US" baseline="-25000"/>
                  <a:t>e</a:t>
                </a:r>
                <a:r>
                  <a:rPr lang="en-US"/>
                  <a:t>) </a:t>
                </a:r>
              </a:p>
            </c:rich>
          </c:tx>
          <c:layout>
            <c:manualLayout>
              <c:xMode val="edge"/>
              <c:yMode val="edge"/>
              <c:x val="0.48134210815609546"/>
              <c:y val="0.946975141869266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849672"/>
        <c:crosses val="autoZero"/>
        <c:crossBetween val="midCat"/>
      </c:valAx>
      <c:valAx>
        <c:axId val="517849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q</a:t>
                </a:r>
                <a:r>
                  <a:rPr lang="en-US" baseline="-25000"/>
                  <a:t>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846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Sheet1!$R$3:$R$7</c:f>
              <c:numCache>
                <c:formatCode>General</c:formatCode>
                <c:ptCount val="5"/>
                <c:pt idx="0">
                  <c:v>100602654.90566061</c:v>
                </c:pt>
                <c:pt idx="1">
                  <c:v>74199471.641148806</c:v>
                </c:pt>
                <c:pt idx="2">
                  <c:v>47741176.413693614</c:v>
                </c:pt>
                <c:pt idx="3">
                  <c:v>31232576.903931871</c:v>
                </c:pt>
                <c:pt idx="4">
                  <c:v>20445737.930143777</c:v>
                </c:pt>
              </c:numCache>
            </c:numRef>
          </c:xVal>
          <c:yVal>
            <c:numRef>
              <c:f>Sheet1!$J$3:$J$7</c:f>
              <c:numCache>
                <c:formatCode>General</c:formatCode>
                <c:ptCount val="5"/>
                <c:pt idx="0">
                  <c:v>2.8958489150477011</c:v>
                </c:pt>
                <c:pt idx="1">
                  <c:v>3.600484472614407</c:v>
                </c:pt>
                <c:pt idx="2">
                  <c:v>3.972513420073243</c:v>
                </c:pt>
                <c:pt idx="3">
                  <c:v>4.2164836786794213</c:v>
                </c:pt>
                <c:pt idx="4">
                  <c:v>4.382976753510202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47320"/>
        <c:axId val="517849280"/>
      </c:scatterChart>
      <c:valAx>
        <c:axId val="517847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/>
                  <a:t>ε</a:t>
                </a:r>
                <a:r>
                  <a:rPr lang="en-US" baseline="30000"/>
                  <a:t>2</a:t>
                </a:r>
              </a:p>
            </c:rich>
          </c:tx>
          <c:layout>
            <c:manualLayout>
              <c:xMode val="edge"/>
              <c:yMode val="edge"/>
              <c:x val="0.49594142122197771"/>
              <c:y val="0.947794722974735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849280"/>
        <c:crosses val="autoZero"/>
        <c:crossBetween val="midCat"/>
      </c:valAx>
      <c:valAx>
        <c:axId val="51784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ln q</a:t>
                </a:r>
                <a:r>
                  <a:rPr lang="en-US" baseline="-25000"/>
                  <a:t>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847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rnd">
                <a:solidFill>
                  <a:schemeClr val="tx1"/>
                </a:solidFill>
              </a:ln>
              <a:effectLst/>
            </c:spPr>
          </c:marker>
          <c:trendline>
            <c:spPr>
              <a:ln w="12700" cap="sq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527242258827097E-2"/>
                  <c:y val="0.111145331136099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tx1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/>
                      <a:t>A = 0.59c</a:t>
                    </a:r>
                    <a:r>
                      <a:rPr lang="en-US" baseline="-25000"/>
                      <a:t>e</a:t>
                    </a:r>
                    <a:r>
                      <a:rPr lang="en-US" baseline="0"/>
                      <a:t> + 1.024</a:t>
                    </a:r>
                    <a:br>
                      <a:rPr lang="en-US" baseline="0"/>
                    </a:br>
                    <a:r>
                      <a:rPr lang="en-US" baseline="0"/>
                      <a:t>R² = 0.9323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Sheet1!$F$3:$F$7</c:f>
              <c:numCache>
                <c:formatCode>General</c:formatCode>
                <c:ptCount val="5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</c:numCache>
            </c:numRef>
          </c:xVal>
          <c:yVal>
            <c:numRef>
              <c:f>Sheet1!$G$3:$G$7</c:f>
              <c:numCache>
                <c:formatCode>General</c:formatCode>
                <c:ptCount val="5"/>
                <c:pt idx="0">
                  <c:v>1.1950000000000001</c:v>
                </c:pt>
                <c:pt idx="1">
                  <c:v>1.234</c:v>
                </c:pt>
                <c:pt idx="2">
                  <c:v>1.3260000000000001</c:v>
                </c:pt>
                <c:pt idx="3">
                  <c:v>1.466</c:v>
                </c:pt>
                <c:pt idx="4">
                  <c:v>1.669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844968"/>
        <c:axId val="517844184"/>
      </c:scatterChart>
      <c:valAx>
        <c:axId val="51784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Initial concentration, c</a:t>
                </a:r>
                <a:r>
                  <a:rPr lang="en-US" baseline="-25000"/>
                  <a:t>e</a:t>
                </a:r>
                <a:r>
                  <a:rPr lang="en-US"/>
                  <a:t> (g/L)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844184"/>
        <c:crosses val="autoZero"/>
        <c:crossBetween val="midCat"/>
      </c:valAx>
      <c:valAx>
        <c:axId val="51784418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Absorbance, A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7844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69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0725" cy="627637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0725" cy="627637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0725" cy="627637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0725" cy="627637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0725" cy="627637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0725" cy="627637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0725" cy="627637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0725" cy="6276377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tabSelected="1" topLeftCell="F1" zoomScaleNormal="100" workbookViewId="0">
      <selection activeCell="N12" sqref="N12"/>
    </sheetView>
  </sheetViews>
  <sheetFormatPr defaultRowHeight="15.5" x14ac:dyDescent="0.35"/>
  <cols>
    <col min="1" max="2" width="12.6328125" style="1" customWidth="1"/>
    <col min="3" max="5" width="8.7265625" style="1"/>
    <col min="6" max="6" width="11.6328125" style="1" customWidth="1"/>
    <col min="7" max="7" width="13.36328125" style="1" bestFit="1" customWidth="1"/>
    <col min="8" max="8" width="15.6328125" style="1" customWidth="1"/>
    <col min="9" max="9" width="12.6328125" style="1" customWidth="1"/>
    <col min="10" max="10" width="15.6328125" style="1" customWidth="1"/>
    <col min="11" max="11" width="12.6328125" style="1" customWidth="1"/>
    <col min="12" max="12" width="13.6328125" style="1" customWidth="1"/>
    <col min="13" max="13" width="13.36328125" style="1" bestFit="1" customWidth="1"/>
    <col min="14" max="14" width="12.6328125" style="1" customWidth="1"/>
    <col min="15" max="17" width="8.7265625" style="1"/>
    <col min="18" max="18" width="12.90625" style="1" bestFit="1" customWidth="1"/>
    <col min="19" max="16384" width="8.7265625" style="1"/>
  </cols>
  <sheetData>
    <row r="1" spans="1:18" x14ac:dyDescent="0.35">
      <c r="A1" s="8" t="s">
        <v>10</v>
      </c>
      <c r="B1" s="8"/>
      <c r="F1" s="8" t="s">
        <v>11</v>
      </c>
      <c r="G1" s="8"/>
      <c r="Q1" s="1" t="s">
        <v>58</v>
      </c>
    </row>
    <row r="2" spans="1:18" ht="19.5" x14ac:dyDescent="0.45">
      <c r="A2" s="1" t="s">
        <v>1</v>
      </c>
      <c r="B2" s="1" t="s">
        <v>0</v>
      </c>
      <c r="F2" s="1" t="s">
        <v>15</v>
      </c>
      <c r="G2" s="1" t="s">
        <v>0</v>
      </c>
      <c r="H2" s="1" t="s">
        <v>16</v>
      </c>
      <c r="I2" s="1" t="s">
        <v>17</v>
      </c>
      <c r="J2" s="3" t="s">
        <v>19</v>
      </c>
      <c r="K2" s="3" t="s">
        <v>18</v>
      </c>
      <c r="L2" s="1" t="s">
        <v>20</v>
      </c>
      <c r="M2" s="4" t="s">
        <v>21</v>
      </c>
      <c r="N2" s="1" t="s">
        <v>23</v>
      </c>
      <c r="Q2" s="7" t="s">
        <v>57</v>
      </c>
      <c r="R2" s="1" t="s">
        <v>59</v>
      </c>
    </row>
    <row r="3" spans="1:18" x14ac:dyDescent="0.35">
      <c r="A3" s="1">
        <v>0.02</v>
      </c>
      <c r="B3" s="1">
        <v>1.2010000000000001</v>
      </c>
      <c r="F3" s="1">
        <v>0.2</v>
      </c>
      <c r="G3" s="1">
        <v>1.1950000000000001</v>
      </c>
      <c r="H3" s="1">
        <f>($G3-1.145)/2.63</f>
        <v>1.9011406844106481E-2</v>
      </c>
      <c r="I3" s="1">
        <f>($F3-$H3)*(100)</f>
        <v>18.098859315589351</v>
      </c>
      <c r="J3" s="2">
        <f>LN($I3)</f>
        <v>2.8958489150477011</v>
      </c>
      <c r="K3" s="2">
        <f>LN($H3)</f>
        <v>-3.9627161197436633</v>
      </c>
      <c r="L3" s="1">
        <f>$H3/$I3</f>
        <v>1.0504201680672279E-3</v>
      </c>
      <c r="M3" s="1">
        <f>$I3/$B$16</f>
        <v>0.15565028350423854</v>
      </c>
      <c r="N3" s="1">
        <f>LN($M3/((1-$M3)*$H3))</f>
        <v>2.271761073239174</v>
      </c>
      <c r="Q3" s="1">
        <f>8.314*303*LN(1+(1/H3))</f>
        <v>10030.087482453013</v>
      </c>
      <c r="R3" s="1">
        <f>Q3^2</f>
        <v>100602654.90566061</v>
      </c>
    </row>
    <row r="4" spans="1:18" x14ac:dyDescent="0.35">
      <c r="A4" s="1">
        <v>0.04</v>
      </c>
      <c r="B4" s="1">
        <v>1.2450000000000001</v>
      </c>
      <c r="F4" s="1">
        <v>0.4</v>
      </c>
      <c r="G4" s="1">
        <v>1.234</v>
      </c>
      <c r="H4" s="1">
        <f t="shared" ref="H4:H7" si="0">($G4-1.145)/2.63</f>
        <v>3.3840304182509495E-2</v>
      </c>
      <c r="I4" s="1">
        <f t="shared" ref="I4:I7" si="1">($F4-$H4)*(100)</f>
        <v>36.615969581749056</v>
      </c>
      <c r="J4" s="2">
        <f t="shared" ref="J4:J7" si="2">LN($I4)</f>
        <v>3.600484472614407</v>
      </c>
      <c r="K4" s="2">
        <f t="shared" ref="K4:K7" si="3">LN($H4)</f>
        <v>-3.3861027554396705</v>
      </c>
      <c r="L4" s="1">
        <f t="shared" ref="L4:L7" si="4">$H4/$I4</f>
        <v>9.2419522326064342E-4</v>
      </c>
      <c r="M4" s="1">
        <f t="shared" ref="M4:M7" si="5">$I4/$B$16</f>
        <v>0.31489752734155829</v>
      </c>
      <c r="N4" s="1">
        <f t="shared" ref="N4:N7" si="6">LN(M4/((1-M4)*H4))</f>
        <v>2.6087816091179161</v>
      </c>
      <c r="Q4" s="1">
        <f t="shared" ref="Q4:Q7" si="7">8.314*303*LN(1+(1/H4))</f>
        <v>8613.9115180705685</v>
      </c>
      <c r="R4" s="1">
        <f t="shared" ref="R4:R7" si="8">Q4^2</f>
        <v>74199471.641148806</v>
      </c>
    </row>
    <row r="5" spans="1:18" x14ac:dyDescent="0.35">
      <c r="A5" s="1">
        <v>0.06</v>
      </c>
      <c r="B5" s="1">
        <v>1.3009999999999999</v>
      </c>
      <c r="F5" s="1">
        <v>0.6</v>
      </c>
      <c r="G5" s="1">
        <v>1.3260000000000001</v>
      </c>
      <c r="H5" s="1">
        <f t="shared" si="0"/>
        <v>6.8821292775665427E-2</v>
      </c>
      <c r="I5" s="1">
        <f t="shared" si="1"/>
        <v>53.117870722433459</v>
      </c>
      <c r="J5" s="2">
        <f t="shared" si="2"/>
        <v>3.972513420073243</v>
      </c>
      <c r="K5" s="2">
        <f t="shared" si="3"/>
        <v>-2.6762420939059841</v>
      </c>
      <c r="L5" s="1">
        <f t="shared" si="4"/>
        <v>1.2956335003579103E-3</v>
      </c>
      <c r="M5" s="1">
        <f t="shared" si="5"/>
        <v>0.45681396230130517</v>
      </c>
      <c r="N5" s="1">
        <f t="shared" si="6"/>
        <v>2.5030664451194755</v>
      </c>
      <c r="Q5" s="1">
        <f t="shared" si="7"/>
        <v>6909.4989987475656</v>
      </c>
      <c r="R5" s="1">
        <f t="shared" si="8"/>
        <v>47741176.413693614</v>
      </c>
    </row>
    <row r="6" spans="1:18" x14ac:dyDescent="0.35">
      <c r="A6" s="1">
        <v>0.08</v>
      </c>
      <c r="B6" s="1">
        <v>1.361</v>
      </c>
      <c r="F6" s="1">
        <v>0.8</v>
      </c>
      <c r="G6" s="1">
        <v>1.466</v>
      </c>
      <c r="H6" s="1">
        <f t="shared" si="0"/>
        <v>0.12205323193916348</v>
      </c>
      <c r="I6" s="1">
        <f t="shared" si="1"/>
        <v>67.794676806083658</v>
      </c>
      <c r="J6" s="2">
        <f t="shared" si="2"/>
        <v>4.2164836786794213</v>
      </c>
      <c r="K6" s="2">
        <f t="shared" si="3"/>
        <v>-2.1032980020417944</v>
      </c>
      <c r="L6" s="1">
        <f t="shared" si="4"/>
        <v>1.8003365114974757E-3</v>
      </c>
      <c r="M6" s="1">
        <f t="shared" si="5"/>
        <v>0.58303457035306172</v>
      </c>
      <c r="N6" s="1">
        <f t="shared" si="6"/>
        <v>2.4385411681439892</v>
      </c>
      <c r="Q6" s="1">
        <f t="shared" si="7"/>
        <v>5588.6113573885123</v>
      </c>
      <c r="R6" s="1">
        <f t="shared" si="8"/>
        <v>31232576.903931871</v>
      </c>
    </row>
    <row r="7" spans="1:18" x14ac:dyDescent="0.35">
      <c r="A7" s="1">
        <v>0.1</v>
      </c>
      <c r="B7" s="1">
        <v>1.4059999999999999</v>
      </c>
      <c r="F7" s="1">
        <v>1</v>
      </c>
      <c r="G7" s="1">
        <v>1.669</v>
      </c>
      <c r="H7" s="1">
        <f t="shared" si="0"/>
        <v>0.19923954372623576</v>
      </c>
      <c r="I7" s="1">
        <f t="shared" si="1"/>
        <v>80.076045627376431</v>
      </c>
      <c r="J7" s="2">
        <f t="shared" si="2"/>
        <v>4.382976753510202</v>
      </c>
      <c r="K7" s="2">
        <f t="shared" si="3"/>
        <v>-1.613247440850768</v>
      </c>
      <c r="L7" s="1">
        <f t="shared" si="4"/>
        <v>2.4881291547958215E-3</v>
      </c>
      <c r="M7" s="1">
        <f t="shared" si="5"/>
        <v>0.68865440558808066</v>
      </c>
      <c r="N7" s="1">
        <f t="shared" si="6"/>
        <v>2.4070834663559504</v>
      </c>
      <c r="Q7" s="1">
        <f t="shared" si="7"/>
        <v>4521.696355367505</v>
      </c>
      <c r="R7" s="1">
        <f t="shared" si="8"/>
        <v>20445737.930143777</v>
      </c>
    </row>
    <row r="10" spans="1:18" ht="17.5" x14ac:dyDescent="0.45">
      <c r="F10" s="1" t="s">
        <v>31</v>
      </c>
    </row>
    <row r="11" spans="1:18" ht="17.5" x14ac:dyDescent="0.45">
      <c r="A11" s="1" t="s">
        <v>12</v>
      </c>
      <c r="B11" s="1" t="s">
        <v>13</v>
      </c>
      <c r="C11" s="1" t="s">
        <v>14</v>
      </c>
      <c r="F11" s="1" t="s">
        <v>15</v>
      </c>
      <c r="G11" s="1" t="s">
        <v>16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29</v>
      </c>
      <c r="M11" s="1" t="s">
        <v>30</v>
      </c>
    </row>
    <row r="12" spans="1:18" x14ac:dyDescent="0.35">
      <c r="A12" s="1" t="s">
        <v>2</v>
      </c>
      <c r="B12" s="1" t="s">
        <v>3</v>
      </c>
      <c r="F12" s="1">
        <v>0.2</v>
      </c>
      <c r="G12" s="1">
        <f>$H3</f>
        <v>1.9011406844106481E-2</v>
      </c>
      <c r="H12" s="1">
        <f>I3</f>
        <v>18.098859315589351</v>
      </c>
      <c r="I12" s="5">
        <f>(315.58*$G12)+23.183</f>
        <v>29.182619771863124</v>
      </c>
      <c r="J12" s="1">
        <f>238.15*($G12^0.6037)</f>
        <v>21.771657424317521</v>
      </c>
      <c r="K12" s="1">
        <f>(116.279*12.286*$G12)/(1+(12.286*$G12))</f>
        <v>22.017134574484491</v>
      </c>
      <c r="M12" s="1">
        <f>25.93*LN(112.213*$G12)</f>
        <v>19.646713218999182</v>
      </c>
    </row>
    <row r="13" spans="1:18" x14ac:dyDescent="0.35">
      <c r="A13" s="1" t="s">
        <v>5</v>
      </c>
      <c r="B13" s="1" t="s">
        <v>4</v>
      </c>
      <c r="F13" s="1">
        <v>0.4</v>
      </c>
      <c r="G13" s="1">
        <f t="shared" ref="G13:G16" si="9">$H4</f>
        <v>3.3840304182509495E-2</v>
      </c>
      <c r="H13" s="1">
        <f t="shared" ref="H13:H16" si="10">I4</f>
        <v>36.615969581749056</v>
      </c>
      <c r="I13" s="5">
        <f t="shared" ref="I13:I16" si="11">(315.58*$G13)+23.183</f>
        <v>33.862323193916346</v>
      </c>
      <c r="J13" s="1">
        <f t="shared" ref="J13:J16" si="12">238.15*($G13^0.6037)</f>
        <v>30.836852787259296</v>
      </c>
      <c r="K13" s="1">
        <f t="shared" ref="K13:K16" si="13">(116.279*12.286*$G13)/(1+(12.286*$G13))</f>
        <v>34.147256194382948</v>
      </c>
      <c r="M13" s="1">
        <f t="shared" ref="M13:M16" si="14">25.93*LN(112.213*$G13)</f>
        <v>34.598297755401703</v>
      </c>
    </row>
    <row r="14" spans="1:18" x14ac:dyDescent="0.35">
      <c r="A14" s="1" t="s">
        <v>6</v>
      </c>
      <c r="B14" s="1" t="s">
        <v>7</v>
      </c>
      <c r="C14" s="1" t="s">
        <v>8</v>
      </c>
      <c r="D14" s="1" t="s">
        <v>9</v>
      </c>
      <c r="F14" s="1">
        <v>0.6</v>
      </c>
      <c r="G14" s="1">
        <f t="shared" si="9"/>
        <v>6.8821292775665427E-2</v>
      </c>
      <c r="H14" s="1">
        <f t="shared" si="10"/>
        <v>53.117870722433459</v>
      </c>
      <c r="I14" s="5">
        <f t="shared" si="11"/>
        <v>44.901623574144494</v>
      </c>
      <c r="J14" s="1">
        <f t="shared" si="12"/>
        <v>47.335160729814199</v>
      </c>
      <c r="K14" s="1">
        <f t="shared" si="13"/>
        <v>53.273537849579078</v>
      </c>
      <c r="M14" s="1">
        <f t="shared" si="14"/>
        <v>53.004984708970191</v>
      </c>
    </row>
    <row r="15" spans="1:18" x14ac:dyDescent="0.35">
      <c r="F15" s="1">
        <v>0.8</v>
      </c>
      <c r="G15" s="1">
        <f t="shared" si="9"/>
        <v>0.12205323193916348</v>
      </c>
      <c r="H15" s="1">
        <f t="shared" si="10"/>
        <v>67.794676806083658</v>
      </c>
      <c r="I15" s="5">
        <f t="shared" si="11"/>
        <v>61.700558935361208</v>
      </c>
      <c r="J15" s="1">
        <f t="shared" si="12"/>
        <v>66.896036712536812</v>
      </c>
      <c r="K15" s="1">
        <f t="shared" si="13"/>
        <v>69.758952100807335</v>
      </c>
      <c r="M15" s="1">
        <f t="shared" si="14"/>
        <v>67.861425011008635</v>
      </c>
    </row>
    <row r="16" spans="1:18" x14ac:dyDescent="0.35">
      <c r="A16" s="1" t="s">
        <v>22</v>
      </c>
      <c r="B16" s="1">
        <v>116.279</v>
      </c>
      <c r="F16" s="1">
        <v>1</v>
      </c>
      <c r="G16" s="1">
        <f t="shared" si="9"/>
        <v>0.19923954372623576</v>
      </c>
      <c r="H16" s="1">
        <f t="shared" si="10"/>
        <v>80.076045627376431</v>
      </c>
      <c r="I16" s="5">
        <f t="shared" si="11"/>
        <v>86.059015209125477</v>
      </c>
      <c r="J16" s="1">
        <f t="shared" si="12"/>
        <v>89.925652644168139</v>
      </c>
      <c r="K16" s="1">
        <f t="shared" si="13"/>
        <v>82.553993758177228</v>
      </c>
      <c r="M16" s="1">
        <f t="shared" si="14"/>
        <v>80.568436062691958</v>
      </c>
    </row>
    <row r="19" spans="1:13" x14ac:dyDescent="0.35">
      <c r="A19" s="1" t="s">
        <v>32</v>
      </c>
      <c r="B19" s="1">
        <f>DEVSQ(I3:I7)</f>
        <v>2421.249403634577</v>
      </c>
      <c r="F19" s="6" t="s">
        <v>24</v>
      </c>
    </row>
    <row r="20" spans="1:13" x14ac:dyDescent="0.35">
      <c r="F20" s="6" t="s">
        <v>33</v>
      </c>
      <c r="G20" s="1">
        <f>SUMXMY2(H12:H16,I12:I16)</f>
        <v>270.87322912144191</v>
      </c>
      <c r="H20" s="6" t="s">
        <v>34</v>
      </c>
      <c r="I20" s="1">
        <f>SUMXMY2(H12:H16,J12:J16)</f>
        <v>178.14968413353182</v>
      </c>
      <c r="J20" s="6" t="s">
        <v>37</v>
      </c>
      <c r="K20" s="1">
        <f>SUMXMY2(H12:H16,K12:K16)</f>
        <v>31.470263420305141</v>
      </c>
      <c r="L20" s="6" t="s">
        <v>39</v>
      </c>
      <c r="M20" s="1">
        <f>SUMXMY2(H12:H16,M12:M16)</f>
        <v>6.7264982208234647</v>
      </c>
    </row>
    <row r="21" spans="1:13" ht="18.5" x14ac:dyDescent="0.35">
      <c r="F21" s="6" t="s">
        <v>35</v>
      </c>
      <c r="G21" s="1">
        <f>1 - (G20/B19)</f>
        <v>0.88812667182702054</v>
      </c>
      <c r="H21" s="6" t="s">
        <v>36</v>
      </c>
      <c r="I21" s="1">
        <f>1 - (I20/B19)</f>
        <v>0.9264224148631246</v>
      </c>
      <c r="J21" s="6" t="s">
        <v>38</v>
      </c>
      <c r="K21" s="1">
        <f>1 - (K20/B19)</f>
        <v>0.98700246931478242</v>
      </c>
      <c r="L21" s="6" t="s">
        <v>40</v>
      </c>
      <c r="M21" s="1">
        <f>1 -(M20/B19)</f>
        <v>0.99722188957043156</v>
      </c>
    </row>
    <row r="23" spans="1:13" ht="18.5" x14ac:dyDescent="0.35">
      <c r="F23" s="6" t="s">
        <v>41</v>
      </c>
      <c r="H23" s="6" t="s">
        <v>42</v>
      </c>
      <c r="J23" s="6" t="s">
        <v>43</v>
      </c>
      <c r="L23" s="6" t="s">
        <v>44</v>
      </c>
    </row>
    <row r="24" spans="1:13" x14ac:dyDescent="0.35">
      <c r="F24" s="1">
        <f>((H12-I12)^2)/I12</f>
        <v>4.2096887398199136</v>
      </c>
      <c r="H24" s="1">
        <f>((H12-J12)^2)/J12</f>
        <v>0.61958746110024632</v>
      </c>
      <c r="J24" s="1">
        <f>((H12-K12)^2)/K12</f>
        <v>0.69731512756715053</v>
      </c>
      <c r="L24" s="1">
        <f>((H12-M12)^2)/M12</f>
        <v>0.1219466930470671</v>
      </c>
    </row>
    <row r="25" spans="1:13" x14ac:dyDescent="0.35">
      <c r="F25" s="1">
        <f t="shared" ref="F25:F28" si="15">((H13-I13)^2)/I13</f>
        <v>0.22392345574760811</v>
      </c>
      <c r="H25" s="1">
        <f t="shared" ref="H25:H28" si="16">((H13-J13)^2)/J13</f>
        <v>1.0830609451218884</v>
      </c>
      <c r="J25" s="1">
        <f t="shared" ref="J25:J28" si="17">((H13-K13)^2)/K13</f>
        <v>0.17847834550066036</v>
      </c>
      <c r="L25" s="1">
        <f t="shared" ref="L25:L28" si="18">((H13-M13)^2)/M13</f>
        <v>0.11766473679186353</v>
      </c>
    </row>
    <row r="26" spans="1:13" x14ac:dyDescent="0.35">
      <c r="F26" s="1">
        <f t="shared" si="15"/>
        <v>1.5034359969254794</v>
      </c>
      <c r="H26" s="1">
        <f t="shared" si="16"/>
        <v>0.70644599792552354</v>
      </c>
      <c r="J26" s="1">
        <f t="shared" si="17"/>
        <v>4.5486474996632789E-4</v>
      </c>
      <c r="L26" s="1">
        <f t="shared" si="18"/>
        <v>2.4041610625108657E-4</v>
      </c>
    </row>
    <row r="27" spans="1:13" x14ac:dyDescent="0.35">
      <c r="F27" s="1">
        <f t="shared" si="15"/>
        <v>0.60191144558618259</v>
      </c>
      <c r="H27" s="1">
        <f t="shared" si="16"/>
        <v>1.2071776706295384E-2</v>
      </c>
      <c r="J27" s="1">
        <f t="shared" si="17"/>
        <v>5.5310140380063641E-2</v>
      </c>
      <c r="L27" s="1">
        <f t="shared" si="18"/>
        <v>6.5653246450158881E-5</v>
      </c>
    </row>
    <row r="28" spans="1:13" x14ac:dyDescent="0.35">
      <c r="F28" s="1">
        <f t="shared" si="15"/>
        <v>0.41594625419718545</v>
      </c>
      <c r="H28" s="1">
        <f t="shared" si="16"/>
        <v>1.078832964038811</v>
      </c>
      <c r="J28" s="1">
        <f t="shared" si="17"/>
        <v>7.4378314838716778E-2</v>
      </c>
      <c r="L28" s="1">
        <f t="shared" si="18"/>
        <v>3.0092223783711163E-3</v>
      </c>
    </row>
    <row r="29" spans="1:13" x14ac:dyDescent="0.35">
      <c r="F29" s="6">
        <f>SUM(F24:F28)</f>
        <v>6.9549058922763685</v>
      </c>
      <c r="H29" s="6">
        <f>SUM(H24:H28)</f>
        <v>3.4999991448927643</v>
      </c>
      <c r="J29" s="6">
        <f>SUM(J24:J28)</f>
        <v>1.0059367930365577</v>
      </c>
      <c r="L29" s="6">
        <f>SUM(L24:L28)</f>
        <v>0.242926721570003</v>
      </c>
    </row>
    <row r="31" spans="1:13" x14ac:dyDescent="0.35">
      <c r="F31" s="6" t="s">
        <v>45</v>
      </c>
      <c r="H31" s="6" t="s">
        <v>46</v>
      </c>
      <c r="J31" s="6" t="s">
        <v>47</v>
      </c>
      <c r="L31" s="6" t="s">
        <v>48</v>
      </c>
    </row>
    <row r="32" spans="1:13" x14ac:dyDescent="0.35">
      <c r="F32" s="1">
        <f>ABS((H12-I12)/H12)</f>
        <v>0.61240105042016857</v>
      </c>
      <c r="H32" s="1">
        <f>ABS((H12-J12)/H12)</f>
        <v>0.2029298114696447</v>
      </c>
      <c r="J32" s="1">
        <f>ABS((H12-K12)/H12)</f>
        <v>0.21649293972466846</v>
      </c>
      <c r="L32" s="1">
        <f>ABS((H12-M12)/H12)</f>
        <v>8.5522179957307876E-2</v>
      </c>
    </row>
    <row r="33" spans="6:12" x14ac:dyDescent="0.35">
      <c r="F33" s="1">
        <f t="shared" ref="F33:F36" si="19">ABS((H13-I13)/H13)</f>
        <v>7.520342679127752E-2</v>
      </c>
      <c r="H33" s="1">
        <f t="shared" ref="H33:H36" si="20">ABS((H13-J13)/H13)</f>
        <v>0.15783050020257597</v>
      </c>
      <c r="J33" s="1">
        <f t="shared" ref="J33:J36" si="21">ABS((H13-K13)/H13)</f>
        <v>6.7421767484661096E-2</v>
      </c>
      <c r="L33" s="1">
        <f t="shared" ref="L33:L36" si="22">ABS((H13-M13)/H13)</f>
        <v>5.510360231872833E-2</v>
      </c>
    </row>
    <row r="34" spans="6:12" x14ac:dyDescent="0.35">
      <c r="F34" s="1">
        <f t="shared" si="19"/>
        <v>0.15467952755905495</v>
      </c>
      <c r="H34" s="1">
        <f t="shared" si="20"/>
        <v>0.10886562119247427</v>
      </c>
      <c r="J34" s="1">
        <f t="shared" si="21"/>
        <v>2.9305980271508913E-3</v>
      </c>
      <c r="L34" s="1">
        <f t="shared" si="22"/>
        <v>2.1251983923292295E-3</v>
      </c>
    </row>
    <row r="35" spans="6:12" x14ac:dyDescent="0.35">
      <c r="F35" s="1">
        <f t="shared" si="19"/>
        <v>8.989080201906921E-2</v>
      </c>
      <c r="H35" s="1">
        <f t="shared" si="20"/>
        <v>1.3255319383220431E-2</v>
      </c>
      <c r="J35" s="1">
        <f t="shared" si="21"/>
        <v>2.897388684870034E-2</v>
      </c>
      <c r="L35" s="1">
        <f t="shared" si="22"/>
        <v>9.8456409956640227E-4</v>
      </c>
    </row>
    <row r="36" spans="6:12" x14ac:dyDescent="0.35">
      <c r="F36" s="1">
        <f t="shared" si="19"/>
        <v>7.4716096866096815E-2</v>
      </c>
      <c r="H36" s="1">
        <f t="shared" si="20"/>
        <v>0.12300316454967802</v>
      </c>
      <c r="J36" s="1">
        <f t="shared" si="21"/>
        <v>3.0944936296325245E-2</v>
      </c>
      <c r="L36" s="1">
        <f t="shared" si="22"/>
        <v>6.1490353508064505E-3</v>
      </c>
    </row>
    <row r="37" spans="6:12" x14ac:dyDescent="0.35">
      <c r="F37" s="6">
        <f>20*SUM(F32:F36)</f>
        <v>20.13781807311334</v>
      </c>
      <c r="H37" s="6">
        <f>20*SUM(H32:H36)</f>
        <v>12.117688335951868</v>
      </c>
      <c r="J37" s="6">
        <f>20*SUM(J32:J36)</f>
        <v>6.9352825676301197</v>
      </c>
      <c r="L37" s="6">
        <f>20*SUM(L32:L36)</f>
        <v>2.9976916023747657</v>
      </c>
    </row>
    <row r="39" spans="6:12" x14ac:dyDescent="0.35">
      <c r="F39" s="6" t="s">
        <v>49</v>
      </c>
      <c r="H39" s="6" t="s">
        <v>50</v>
      </c>
      <c r="J39" s="6" t="s">
        <v>51</v>
      </c>
      <c r="L39" s="6" t="s">
        <v>52</v>
      </c>
    </row>
    <row r="40" spans="6:12" x14ac:dyDescent="0.35">
      <c r="F40" s="1">
        <f>((H12-I12)/H12)^2</f>
        <v>0.37503504655572584</v>
      </c>
      <c r="H40" s="1">
        <f>((H12-J12)/H12)^2</f>
        <v>4.1180508383105545E-2</v>
      </c>
      <c r="J40" s="1">
        <f>((H12-K12)/H12)^2</f>
        <v>4.6869192950628934E-2</v>
      </c>
      <c r="L40" s="1">
        <f>((H12-M12)/H12)^2</f>
        <v>7.3140432646501526E-3</v>
      </c>
    </row>
    <row r="41" spans="6:12" x14ac:dyDescent="0.35">
      <c r="F41" s="1">
        <f t="shared" ref="F41:F44" si="23">((H13-I13)/H13)^2</f>
        <v>5.6555554011510373E-3</v>
      </c>
      <c r="H41" s="1">
        <f t="shared" ref="H41:H44" si="24">((H13-J13)/H13)^2</f>
        <v>2.4910466794195334E-2</v>
      </c>
      <c r="J41" s="1">
        <f t="shared" ref="J41:J44" si="25">((H13-K13)/H13)^2</f>
        <v>4.5456947307557045E-3</v>
      </c>
      <c r="L41" s="1">
        <f t="shared" ref="L41:L44" si="26">((H13-M13)/H13)^2</f>
        <v>3.0364069885005624E-3</v>
      </c>
    </row>
    <row r="42" spans="6:12" x14ac:dyDescent="0.35">
      <c r="F42" s="1">
        <f t="shared" si="23"/>
        <v>2.3925756245892441E-2</v>
      </c>
      <c r="H42" s="1">
        <f t="shared" si="24"/>
        <v>1.1851723477623302E-2</v>
      </c>
      <c r="J42" s="1">
        <f t="shared" si="25"/>
        <v>8.5884047967406963E-6</v>
      </c>
      <c r="L42" s="1">
        <f t="shared" si="26"/>
        <v>4.5164682067587416E-6</v>
      </c>
    </row>
    <row r="43" spans="6:12" x14ac:dyDescent="0.35">
      <c r="F43" s="1">
        <f t="shared" si="23"/>
        <v>8.0803562876314971E-3</v>
      </c>
      <c r="H43" s="1">
        <f t="shared" si="24"/>
        <v>1.7570349195117926E-4</v>
      </c>
      <c r="J43" s="1">
        <f t="shared" si="25"/>
        <v>8.3948611912129049E-4</v>
      </c>
      <c r="L43" s="1">
        <f t="shared" si="26"/>
        <v>9.6936646615500057E-7</v>
      </c>
    </row>
    <row r="44" spans="6:12" x14ac:dyDescent="0.35">
      <c r="F44" s="1">
        <f t="shared" si="23"/>
        <v>5.582495130903962E-3</v>
      </c>
      <c r="H44" s="1">
        <f t="shared" si="24"/>
        <v>1.5129778489235168E-2</v>
      </c>
      <c r="J44" s="1">
        <f t="shared" si="25"/>
        <v>9.575890823836276E-4</v>
      </c>
      <c r="L44" s="1">
        <f t="shared" si="26"/>
        <v>3.7810635745467404E-5</v>
      </c>
    </row>
    <row r="45" spans="6:12" x14ac:dyDescent="0.35">
      <c r="F45" s="6">
        <f>100*SQRT((1/(5-2))*SUM(F40:F44))</f>
        <v>37.339845099719092</v>
      </c>
      <c r="H45" s="6">
        <f>100*SQRT((1/3)*SUM(H40:H44))</f>
        <v>17.630294064111212</v>
      </c>
      <c r="J45" s="6">
        <f>100*SQRT((1/3)*SUM(J40:J44))</f>
        <v>13.31922811673488</v>
      </c>
      <c r="L45" s="6">
        <f>100*SQRT((1/3)*SUM(L40:L44))</f>
        <v>5.8860702010676853</v>
      </c>
    </row>
    <row r="46" spans="6:12" x14ac:dyDescent="0.35">
      <c r="G46" s="6"/>
    </row>
    <row r="47" spans="6:12" x14ac:dyDescent="0.35">
      <c r="F47" s="6" t="s">
        <v>53</v>
      </c>
      <c r="H47" s="6" t="s">
        <v>54</v>
      </c>
      <c r="J47" s="6" t="s">
        <v>55</v>
      </c>
      <c r="L47" s="6" t="s">
        <v>56</v>
      </c>
    </row>
    <row r="48" spans="6:12" x14ac:dyDescent="0.35">
      <c r="F48" s="1">
        <f>(H12-I12)^2</f>
        <v>122.84974585205818</v>
      </c>
      <c r="H48" s="1">
        <f>(H12-J12)^2</f>
        <v>13.489445947477222</v>
      </c>
      <c r="J48" s="1">
        <f>(H12-K12)^2</f>
        <v>15.352881004469772</v>
      </c>
      <c r="L48" s="1">
        <f>(H12-M12)^2</f>
        <v>2.3958517063010487</v>
      </c>
    </row>
    <row r="49" spans="6:12" x14ac:dyDescent="0.35">
      <c r="F49" s="1">
        <f t="shared" ref="F49:F52" si="27">(H13-I13)^2</f>
        <v>7.5825684292241302</v>
      </c>
      <c r="H49" s="1">
        <f t="shared" ref="H49:H52" si="28">(H13-J13)^2</f>
        <v>33.398190924353592</v>
      </c>
      <c r="J49" s="1">
        <f t="shared" ref="J49:J52" si="29">(H13-K13)^2</f>
        <v>6.0945457889606445</v>
      </c>
      <c r="L49" s="1">
        <f t="shared" ref="L49:L52" si="30">(H13-M13)^2</f>
        <v>4.070999598835864</v>
      </c>
    </row>
    <row r="50" spans="6:12" x14ac:dyDescent="0.35">
      <c r="F50" s="1">
        <f t="shared" si="27"/>
        <v>67.506717201766534</v>
      </c>
      <c r="H50" s="1">
        <f t="shared" si="28"/>
        <v>33.439734858738646</v>
      </c>
      <c r="J50" s="1">
        <f t="shared" si="29"/>
        <v>2.4232254473770493E-2</v>
      </c>
      <c r="L50" s="1">
        <f t="shared" si="30"/>
        <v>1.2743252035628996E-2</v>
      </c>
    </row>
    <row r="51" spans="6:12" x14ac:dyDescent="0.35">
      <c r="F51" s="1">
        <f t="shared" si="27"/>
        <v>37.138272622258718</v>
      </c>
      <c r="H51" s="1">
        <f t="shared" si="28"/>
        <v>0.80755401772988278</v>
      </c>
      <c r="J51" s="1">
        <f t="shared" si="29"/>
        <v>3.8583774334617891</v>
      </c>
      <c r="L51" s="1">
        <f t="shared" si="30"/>
        <v>4.4553228607067258E-3</v>
      </c>
    </row>
    <row r="52" spans="6:12" x14ac:dyDescent="0.35">
      <c r="F52" s="1">
        <f t="shared" si="27"/>
        <v>35.795925016134355</v>
      </c>
      <c r="H52" s="1">
        <f t="shared" si="28"/>
        <v>97.014758385232454</v>
      </c>
      <c r="J52" s="1">
        <f t="shared" si="29"/>
        <v>6.1402269389391657</v>
      </c>
      <c r="L52" s="1">
        <f t="shared" si="30"/>
        <v>0.24244834079021513</v>
      </c>
    </row>
    <row r="53" spans="6:12" x14ac:dyDescent="0.35">
      <c r="F53" s="6">
        <f>SQRT((1/3)*SUM(F48:F52))</f>
        <v>9.5021616684738621</v>
      </c>
      <c r="H53" s="6">
        <f>SQRT((1/3)*SUM(H48:H52))</f>
        <v>7.7060513912451043</v>
      </c>
      <c r="J53" s="6">
        <f>SQRT((1/3)*SUM(J48:J52))</f>
        <v>3.2388405034469323</v>
      </c>
      <c r="L53" s="6">
        <f>SQRT((1/3)*SUM(L48:L52))</f>
        <v>1.4973864142591322</v>
      </c>
    </row>
  </sheetData>
  <mergeCells count="2">
    <mergeCell ref="A1:B1"/>
    <mergeCell ref="F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Sheet1</vt:lpstr>
      <vt:lpstr>Calibration Curve</vt:lpstr>
      <vt:lpstr>Henry's law</vt:lpstr>
      <vt:lpstr>Freundlich isotherm</vt:lpstr>
      <vt:lpstr>Langmuir isotherm</vt:lpstr>
      <vt:lpstr>Frumkin isotherm</vt:lpstr>
      <vt:lpstr>Temkin isotherm</vt:lpstr>
      <vt:lpstr>D-R</vt:lpstr>
      <vt:lpstr>Experimental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2026-01-13T21:37:55Z</dcterms:created>
  <dcterms:modified xsi:type="dcterms:W3CDTF">2026-10-22T03:15:50Z</dcterms:modified>
</cp:coreProperties>
</file>